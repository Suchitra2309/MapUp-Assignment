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AE58518E-A381-46B7-9C35-3436ADC63A1E}" xr6:coauthVersionLast="47" xr6:coauthVersionMax="47" xr10:uidLastSave="{00000000-0000-0000-0000-000000000000}"/>
  <bookViews>
    <workbookView xWindow="-120" yWindow="-120" windowWidth="20730" windowHeight="11040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D5" i="15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E23" i="20"/>
  <c r="G23" i="20" s="1"/>
  <c r="J23" i="20" s="1"/>
  <c r="H23" i="20"/>
  <c r="F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<sst xmlns="http://schemas.openxmlformats.org/spreadsheetml/2006/main" count="408" uniqueCount="185">
  <si>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</si>
  <si>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</si>
  <si>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</si>
  <si>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</si>
  <si>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</si>
  <si>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</si>
  <si>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</si>
  <si>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</si>
  <si>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</si>
  <si>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</si>
  <si>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</si>
  <si>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</si>
  <si>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</si>
  <si>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</si>
  <si>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</si>
  <si>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</si>
  <si>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</si>
  <si>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</si>
  <si>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</si>
  <si>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</si>
  <si>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</si>
  <si>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</si>
  <si>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</si>
  <si>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</si>
  <si>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</si>
  <si>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</si>
  <si>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</si>
  <si>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</si>
  <si>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</si>
  <si>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</si>
  <si>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</si>
  <si>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</si>
  <si>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</si>
  <si>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</si>
  <si>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</si>
  <si>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</si>
  <si>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</si>
  <si>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</si>
  <si>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</si>
  <si>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</si>
  <si>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</si>
  <si>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</si>
  <si>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</si>
  <si>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</si>
  <si>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</si>
  <si>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</si>
  <si>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</si>
  <si>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</si>
  <si>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</si>
  <si>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</si>
  <si>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</si>
  <si>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</si>
  <si>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</si>
  <si>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</si>
  <si>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</si>
  <si>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</si>
  <si>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</si>
  <si>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</si>
  <si>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</si>
  <si>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</si>
  <si>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</si>
  <si>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</si>
  <si>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</si>
  <si>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</si>
  <si>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</si>
  <si>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</si>
  <si>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</si>
  <si>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</si>
  <si>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</si>
  <si>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</si>
  <si>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</si>
  <si>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</si>
  <si>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</si>
  <si>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</si>
  <si>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</si>
  <si>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</si>
  <si>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</si>
  <si>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</si>
  <si>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</si>
  <si>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</si>
  <si>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</si>
  <si>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</si>
  <si>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</si>
  <si>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</si>
  <si>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</si>
  <si>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</si>
  <si>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</si>
  <si>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</si>
  <si>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</si>
  <si>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</si>
  <si>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</si>
  <si>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</si>
  <si>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</si>
  <si>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</si>
  <si>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</si>
  <si>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</si>
  <si>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</si>
  <si>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</si>
  <si>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</si>
  <si>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</si>
  <si>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</si>
  <si>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</si>
  <si>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</si>
  <si>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</si>
  <si>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</si>
  <si>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</si>
  <si>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</si>
  <si>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</si>
  <si>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</si>
  <si>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</si>
  <si>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</si>
  <si>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</si>
  <si>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</si>
  <si>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</si>
  <si>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</si>
  <si>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</si>
  <si>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</si>
  <si>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</si>
  <si>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</si>
  <si>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</si>
  <si>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</si>
  <si>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</si>
  <si>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</si>
  <si>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</si>
  <si>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</si>
  <si>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</si>
  <si>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</si>
  <si>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</si>
  <si>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</si>
  <si>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</si>
  <si>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</si>
  <si>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</si>
  <si>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</si>
  <si>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</si>
  <si>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</si>
  <si>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</si>
  <si>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</si>
  <si>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</si>
  <si>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</si>
  <si>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</si>
  <si>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</si>
  <si>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</si>
  <si>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</si>
  <si>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</si>
  <si>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</si>
  <si>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</si>
  <si>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</si>
  <si>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</si>
  <si>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</si>
  <si>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</si>
  <si>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</si>
  <si>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</si>
  <si>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</si>
  <si>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</si>
  <si>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</si>
  <si>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</si>
  <si>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</si>
  <si>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</si>
  <si>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</si>
  <si>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</si>
  <si>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</si>
  <si>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</si>
  <si>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</si>
  <si>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</si>
  <si>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</si>
  <si>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</si>
  <si>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</si>
  <si>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</si>
  <si>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</si>
  <si>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</si>
  <si>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</si>
  <si>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</si>
  <si>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</si>
  <si>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</si>
  <si>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</si>
  <si>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</si>
  <si>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</si>
  <si>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</si>
  <si>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I used Text to Columns functionality</t>
  </si>
  <si>
    <t>First of all select the values which you want to split. Then go to Data tab -&gt; Data Tools group -&gt; Text to columns-&gt; choose the delimeter-&gt; select the position.</t>
  </si>
  <si>
    <t>The Text to Columns functionality splits a single column's data into multiple columns based on a specified delimiter. In this case, the hyphen (-) is used to split the combined values into individual columns (col_1, col_3, col_4, col_5, col_6).</t>
  </si>
  <si>
    <t>I used Find &amp; Replace functionality. Then Sum function</t>
  </si>
  <si>
    <t>Find &amp; Replace functinality allowed us to replace the #N/A values to 20</t>
  </si>
  <si>
    <t>I used Vlookup(), Match() and Index()</t>
  </si>
  <si>
    <t>First I broke the whole  problem in smaller part. Using vlookup(), I got the value of name_1 from Table_b. Similary, got the value of name_2 from Table_B. Then got the position number of name_1 and name_2 using Match(). The final answer I obtained by using Index()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</si>
</sst>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15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8" fillId="0" borderId="0" xfId="0" applyFont="1" applyAlignment="1"/>
    <xf numFmtId="0" fontId="8" fillId="0" borderId="0" xfId="0" applyFont="1" applyAlignme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00B050"/>
      </font>
      <fill>
        <patternFill>
          <bgColor rgb="FF92D050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177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K1" zoomScaleNormal="100" workbookViewId="0">
      <pane ySplit="1" topLeftCell="A16" activePane="bottomLeft" state="frozen"/>
      <selection pane="bottomLeft" activeCell="T3" sqref="T3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I6">
    <cfRule type="cellIs" dxfId="3" priority="4" operator="equal">
      <formula>0</formula>
    </cfRule>
  </conditionalFormatting>
  <conditionalFormatting sqref="A1:X40">
    <cfRule type="cellIs" dxfId="2" priority="3" operator="equal">
      <formula>-1</formula>
    </cfRule>
  </conditionalFormatting>
  <conditionalFormatting sqref="G2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topLeftCell="B1" zoomScaleNormal="100" workbookViewId="0">
      <selection activeCell="C11" sqref="C11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105</v>
      </c>
      <c r="D5" s="1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H25" sqref="H25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VLOOKUP($A6,Dataset!$A$1:$X$40,7,FALSE)</f>
        <v>2.7</v>
      </c>
      <c r="C6" s="11">
        <f>VLOOKUP($A6,Dataset!$A$1:$X$40,14,FALSE)</f>
        <v>7.6</v>
      </c>
      <c r="D6" s="11">
        <f>VLOOKUP($A6,Dataset!$A$1:$X$40,18,FALSE)</f>
        <v>4.2</v>
      </c>
      <c r="E6" s="11">
        <f>VLOOKUP($A6,Dataset!$A$1:$X$40,20,FALSE)</f>
        <v>8.9</v>
      </c>
      <c r="F6" s="11">
        <f>VLOOKUP($A6,Dataset!$A$1:$X$40,22,FALSE)</f>
        <v>4.2</v>
      </c>
    </row>
    <row r="7" spans="1:7" ht="15" x14ac:dyDescent="0.25">
      <c r="A7" s="7" t="s">
        <v>4</v>
      </c>
      <c r="B7" s="11">
        <f>VLOOKUP($A7,Dataset!$A$1:$X$40,7,FALSE)</f>
        <v>2.7</v>
      </c>
      <c r="C7" s="11">
        <f>VLOOKUP($A7,Dataset!$A$1:$X$40,14,FALSE)</f>
        <v>7.6</v>
      </c>
      <c r="D7" s="11">
        <f>VLOOKUP($A7,Dataset!$A$1:$X$40,18,FALSE)</f>
        <v>4.2</v>
      </c>
      <c r="E7" s="11">
        <f>VLOOKUP($A7,Dataset!$A$1:$X$40,20,FALSE)</f>
        <v>8.9</v>
      </c>
      <c r="F7" s="11">
        <f>VLOOKUP($A7,Dataset!$A$1:$X$40,22,FALSE)</f>
        <v>4.2</v>
      </c>
    </row>
    <row r="8" spans="1:7" ht="15" x14ac:dyDescent="0.25">
      <c r="A8" s="7" t="s">
        <v>7</v>
      </c>
      <c r="B8" s="11">
        <f>VLOOKUP($A8,Dataset!$A$1:$X$40,7,FALSE)</f>
        <v>3.6</v>
      </c>
      <c r="C8" s="11">
        <f>VLOOKUP($A8,Dataset!$A$1:$X$40,14,FALSE)</f>
        <v>11.1</v>
      </c>
      <c r="D8" s="11">
        <f>VLOOKUP($A8,Dataset!$A$1:$X$40,18,FALSE)</f>
        <v>5.8</v>
      </c>
      <c r="E8" s="11">
        <f>VLOOKUP($A8,Dataset!$A$1:$X$40,20,FALSE)</f>
        <v>12.2</v>
      </c>
      <c r="F8" s="11">
        <f>VLOOKUP($A8,Dataset!$A$1:$X$40,22,FALSE)</f>
        <v>5.8</v>
      </c>
    </row>
    <row r="9" spans="1:7" ht="15" x14ac:dyDescent="0.25">
      <c r="A9" s="7" t="s">
        <v>8</v>
      </c>
      <c r="B9" s="11">
        <f>VLOOKUP($A9,Dataset!$A$1:$X$40,7,FALSE)</f>
        <v>4.9000000000000004</v>
      </c>
      <c r="C9" s="11">
        <f>VLOOKUP($A9,Dataset!$A$1:$X$40,14,FALSE)</f>
        <v>13.3</v>
      </c>
      <c r="D9" s="11">
        <f>VLOOKUP($A9,Dataset!$A$1:$X$40,18,FALSE)</f>
        <v>8.1</v>
      </c>
      <c r="E9" s="11">
        <f>VLOOKUP($A9,Dataset!$A$1:$X$40,20,FALSE)</f>
        <v>17</v>
      </c>
      <c r="F9" s="11">
        <f>VLOOKUP($A9,Dataset!$A$1:$X$40,22,FALSE)</f>
        <v>8.1</v>
      </c>
    </row>
    <row r="10" spans="1:7" ht="15" x14ac:dyDescent="0.25">
      <c r="A10" s="7" t="s">
        <v>11</v>
      </c>
      <c r="B10" s="11">
        <f>VLOOKUP($A10,Dataset!$A$1:$X$40,7,FALSE)</f>
        <v>9.4</v>
      </c>
      <c r="C10" s="11">
        <f>VLOOKUP($A10,Dataset!$A$1:$X$40,14,FALSE)</f>
        <v>28.3</v>
      </c>
      <c r="D10" s="11">
        <f>VLOOKUP($A10,Dataset!$A$1:$X$40,18,FALSE)</f>
        <v>16.100000000000001</v>
      </c>
      <c r="E10" s="11">
        <f>VLOOKUP($A10,Dataset!$A$1:$X$40,20,FALSE)</f>
        <v>32.799999999999997</v>
      </c>
      <c r="F10" s="11">
        <f>VLOOKUP($A10,Dataset!$A$1:$X$40,22,FALSE)</f>
        <v>16.100000000000001</v>
      </c>
    </row>
    <row r="11" spans="1:7" ht="15" x14ac:dyDescent="0.25">
      <c r="A11" s="7" t="s">
        <v>12</v>
      </c>
      <c r="B11" s="11">
        <f>VLOOKUP($A11,Dataset!$A$1:$X$40,7,FALSE)</f>
        <v>11.6</v>
      </c>
      <c r="C11" s="11">
        <f>VLOOKUP($A11,Dataset!$A$1:$X$40,14,FALSE)</f>
        <v>35.200000000000003</v>
      </c>
      <c r="D11" s="11">
        <f>VLOOKUP($A11,Dataset!$A$1:$X$40,18,FALSE)</f>
        <v>21.3</v>
      </c>
      <c r="E11" s="11">
        <f>VLOOKUP($A11,Dataset!$A$1:$X$40,20,FALSE)</f>
        <v>43</v>
      </c>
      <c r="F11" s="11">
        <f>VLOOKUP($A11,Dataset!$A$1:$X$40,22,FALSE)</f>
        <v>21.3</v>
      </c>
    </row>
    <row r="12" spans="1:7" ht="15" x14ac:dyDescent="0.25">
      <c r="A12" s="7" t="s">
        <v>14</v>
      </c>
      <c r="B12" s="11">
        <f>VLOOKUP($A12,Dataset!$A$1:$X$40,7,FALSE)</f>
        <v>18.399999999999999</v>
      </c>
      <c r="C12" s="11">
        <f>VLOOKUP($A12,Dataset!$A$1:$X$40,14,FALSE)</f>
        <v>55.6</v>
      </c>
      <c r="D12" s="11">
        <f>VLOOKUP($A12,Dataset!$A$1:$X$40,18,FALSE)</f>
        <v>33.799999999999997</v>
      </c>
      <c r="E12" s="11">
        <f>VLOOKUP($A12,Dataset!$A$1:$X$40,20,FALSE)</f>
        <v>67.900000000000006</v>
      </c>
      <c r="F12" s="11">
        <f>VLOOKUP($A12,Dataset!$A$1:$X$40,22,FALSE)</f>
        <v>33.799999999999997</v>
      </c>
    </row>
    <row r="13" spans="1:7" ht="15" x14ac:dyDescent="0.25">
      <c r="A13" s="7" t="s">
        <v>15</v>
      </c>
      <c r="B13" s="11">
        <f>VLOOKUP($A13,Dataset!$A$1:$X$40,7,FALSE)</f>
        <v>0</v>
      </c>
      <c r="C13" s="11">
        <f>VLOOKUP($A13,Dataset!$A$1:$X$40,14,FALSE)</f>
        <v>0</v>
      </c>
      <c r="D13" s="11">
        <f>VLOOKUP($A13,Dataset!$A$1:$X$40,18,FALSE)</f>
        <v>0</v>
      </c>
      <c r="E13" s="11">
        <f>VLOOKUP($A13,Dataset!$A$1:$X$40,20,FALSE)</f>
        <v>0</v>
      </c>
      <c r="F13" s="11">
        <f>VLOOKUP($A13,Dataset!$A$1:$X$40,22,FALSE)</f>
        <v>0</v>
      </c>
    </row>
    <row r="14" spans="1:7" ht="15" x14ac:dyDescent="0.25">
      <c r="A14" s="7" t="s">
        <v>16</v>
      </c>
      <c r="B14" s="11">
        <f>VLOOKUP($A14,Dataset!$A$1:$X$40,7,FALSE)</f>
        <v>21.9</v>
      </c>
      <c r="C14" s="11">
        <f>VLOOKUP($A14,Dataset!$A$1:$X$40,14,FALSE)</f>
        <v>61.5</v>
      </c>
      <c r="D14" s="11">
        <f>VLOOKUP($A14,Dataset!$A$1:$X$40,18,FALSE)</f>
        <v>40.1</v>
      </c>
      <c r="E14" s="11">
        <f>VLOOKUP($A14,Dataset!$A$1:$X$40,20,FALSE)</f>
        <v>76.599999999999994</v>
      </c>
      <c r="F14" s="11">
        <f>VLOOKUP($A14,Dataset!$A$1:$X$40,22,FALSE)</f>
        <v>40.1</v>
      </c>
    </row>
    <row r="15" spans="1:7" ht="15" x14ac:dyDescent="0.25">
      <c r="A15" s="7" t="s">
        <v>18</v>
      </c>
      <c r="B15" s="11">
        <f>VLOOKUP($A15,Dataset!$A$1:$X$40,7,FALSE)</f>
        <v>26.8</v>
      </c>
      <c r="C15" s="11">
        <f>VLOOKUP($A15,Dataset!$A$1:$X$40,14,FALSE)</f>
        <v>79.599999999999994</v>
      </c>
      <c r="D15" s="11">
        <f>VLOOKUP($A15,Dataset!$A$1:$X$40,18,FALSE)</f>
        <v>47.9</v>
      </c>
      <c r="E15" s="11">
        <f>VLOOKUP($A15,Dataset!$A$1:$X$40,20,FALSE)</f>
        <v>96.8</v>
      </c>
      <c r="F15" s="11">
        <f>VLOOKUP($A15,Dataset!$A$1:$X$40,22,FALSE)</f>
        <v>47.9</v>
      </c>
    </row>
    <row r="16" spans="1:7" ht="15" x14ac:dyDescent="0.25">
      <c r="A16" s="7" t="s">
        <v>20</v>
      </c>
      <c r="B16" s="11">
        <f>VLOOKUP($A16,Dataset!$A$1:$X$40,7,FALSE)</f>
        <v>28.5</v>
      </c>
      <c r="C16" s="11">
        <f>VLOOKUP($A16,Dataset!$A$1:$X$40,14,FALSE)</f>
        <v>85.4</v>
      </c>
      <c r="D16" s="11">
        <f>VLOOKUP($A16,Dataset!$A$1:$X$40,18,FALSE)</f>
        <v>52.3</v>
      </c>
      <c r="E16" s="11">
        <f>VLOOKUP($A16,Dataset!$A$1:$X$40,20,FALSE)</f>
        <v>106.1</v>
      </c>
      <c r="F16" s="11">
        <f>VLOOKUP($A16,Dataset!$A$1:$X$40,22,FALSE)</f>
        <v>52.3</v>
      </c>
    </row>
    <row r="17" spans="1:6" ht="15" x14ac:dyDescent="0.25">
      <c r="A17" s="7" t="s">
        <v>22</v>
      </c>
      <c r="B17" s="11">
        <f>VLOOKUP($A17,Dataset!$A$1:$X$40,7,FALSE)</f>
        <v>30.7</v>
      </c>
      <c r="C17" s="11">
        <f>VLOOKUP($A17,Dataset!$A$1:$X$40,14,FALSE)</f>
        <v>92.1</v>
      </c>
      <c r="D17" s="11">
        <f>VLOOKUP($A17,Dataset!$A$1:$X$40,18,FALSE)</f>
        <v>57</v>
      </c>
      <c r="E17" s="11">
        <f>VLOOKUP($A17,Dataset!$A$1:$X$40,20,FALSE)</f>
        <v>115.1</v>
      </c>
      <c r="F17" s="11">
        <f>VLOOKUP($A17,Dataset!$A$1:$X$40,22,FALSE)</f>
        <v>57</v>
      </c>
    </row>
    <row r="18" spans="1:6" ht="15" x14ac:dyDescent="0.25">
      <c r="A18" s="7" t="s">
        <v>23</v>
      </c>
      <c r="B18" s="11">
        <f>VLOOKUP($A18,Dataset!$A$1:$X$40,7,FALSE)</f>
        <v>33.799999999999997</v>
      </c>
      <c r="C18" s="11">
        <f>VLOOKUP($A18,Dataset!$A$1:$X$40,14,FALSE)</f>
        <v>101.3</v>
      </c>
      <c r="D18" s="11">
        <f>VLOOKUP($A18,Dataset!$A$1:$X$40,18,FALSE)</f>
        <v>61.4</v>
      </c>
      <c r="E18" s="11">
        <f>VLOOKUP($A18,Dataset!$A$1:$X$40,20,FALSE)</f>
        <v>124.4</v>
      </c>
      <c r="F18" s="11">
        <f>VLOOKUP($A18,Dataset!$A$1:$X$40,22,FALSE)</f>
        <v>61.4</v>
      </c>
    </row>
    <row r="19" spans="1:6" ht="15" x14ac:dyDescent="0.25">
      <c r="A19" s="7" t="s">
        <v>24</v>
      </c>
      <c r="B19" s="11">
        <f>VLOOKUP($A19,Dataset!$A$1:$X$40,7,FALSE)</f>
        <v>34.700000000000003</v>
      </c>
      <c r="C19" s="11">
        <f>VLOOKUP($A19,Dataset!$A$1:$X$40,14,FALSE)</f>
        <v>106.1</v>
      </c>
      <c r="D19" s="11">
        <f>VLOOKUP($A19,Dataset!$A$1:$X$40,18,FALSE)</f>
        <v>63.6</v>
      </c>
      <c r="E19" s="11">
        <f>VLOOKUP($A19,Dataset!$A$1:$X$40,20,FALSE)</f>
        <v>128.6</v>
      </c>
      <c r="F19" s="11">
        <f>VLOOKUP($A19,Dataset!$A$1:$X$40,22,FALSE)</f>
        <v>63.6</v>
      </c>
    </row>
    <row r="20" spans="1:6" ht="15" x14ac:dyDescent="0.25">
      <c r="A20" s="7" t="s">
        <v>28</v>
      </c>
      <c r="B20" s="11">
        <f>VLOOKUP($A20,Dataset!$A$1:$X$40,7,FALSE)</f>
        <v>0</v>
      </c>
      <c r="C20" s="11">
        <f>VLOOKUP($A20,Dataset!$A$1:$X$40,14,FALSE)</f>
        <v>0</v>
      </c>
      <c r="D20" s="11">
        <f>VLOOKUP($A20,Dataset!$A$1:$X$40,18,FALSE)</f>
        <v>0</v>
      </c>
      <c r="E20" s="11">
        <f>VLOOKUP($A20,Dataset!$A$1:$X$40,20,FALSE)</f>
        <v>0</v>
      </c>
      <c r="F20" s="11">
        <f>VLOOKUP($A20,Dataset!$A$1:$X$40,22,FALSE)</f>
        <v>0</v>
      </c>
    </row>
    <row r="21" spans="1:6" ht="15" x14ac:dyDescent="0.25">
      <c r="A21" s="7" t="s">
        <v>57</v>
      </c>
      <c r="B21" s="11">
        <f>VLOOKUP($A21,Dataset!$A$1:$X$40,7,FALSE)</f>
        <v>41.3</v>
      </c>
      <c r="C21" s="11">
        <f>VLOOKUP($A21,Dataset!$A$1:$X$40,14,FALSE)</f>
        <v>124.4</v>
      </c>
      <c r="D21" s="11">
        <f>VLOOKUP($A21,Dataset!$A$1:$X$40,18,FALSE)</f>
        <v>75</v>
      </c>
      <c r="E21" s="11">
        <f>VLOOKUP($A21,Dataset!$A$1:$X$40,20,FALSE)</f>
        <v>151.5</v>
      </c>
      <c r="F21" s="11">
        <f>VLOOKUP($A21,Dataset!$A$1:$X$40,22,FALSE)</f>
        <v>75</v>
      </c>
    </row>
    <row r="22" spans="1:6" ht="15" x14ac:dyDescent="0.25">
      <c r="A22" s="7" t="s">
        <v>58</v>
      </c>
      <c r="B22" s="11">
        <f>VLOOKUP($A22,Dataset!$A$1:$X$40,7,FALSE)</f>
        <v>-1</v>
      </c>
      <c r="C22" s="11">
        <f>VLOOKUP($A22,Dataset!$A$1:$X$40,14,FALSE)</f>
        <v>-1</v>
      </c>
      <c r="D22" s="11">
        <f>VLOOKUP($A22,Dataset!$A$1:$X$40,18,FALSE)</f>
        <v>-1</v>
      </c>
      <c r="E22" s="11">
        <f>VLOOKUP($A22,Dataset!$A$1:$X$40,20,FALSE)</f>
        <v>-1</v>
      </c>
      <c r="F22" s="11">
        <f>VLOOKUP($A22,Dataset!$A$1:$X$40,22,FALSE)</f>
        <v>-1</v>
      </c>
    </row>
    <row r="23" spans="1:6" ht="15" x14ac:dyDescent="0.25">
      <c r="A23" s="7" t="s">
        <v>31</v>
      </c>
      <c r="B23" s="11">
        <f>VLOOKUP($A23,Dataset!$A$1:$X$40,7,FALSE)</f>
        <v>45</v>
      </c>
      <c r="C23" s="11">
        <f>VLOOKUP($A23,Dataset!$A$1:$X$40,14,FALSE)</f>
        <v>133.4</v>
      </c>
      <c r="D23" s="11">
        <f>VLOOKUP($A23,Dataset!$A$1:$X$40,18,FALSE)</f>
        <v>79.400000000000006</v>
      </c>
      <c r="E23" s="11">
        <f>VLOOKUP($A23,Dataset!$A$1:$X$40,20,FALSE)</f>
        <v>160.9</v>
      </c>
      <c r="F23" s="11">
        <f>VLOOKUP($A23,Dataset!$A$1:$X$40,22,FALSE)</f>
        <v>79.400000000000006</v>
      </c>
    </row>
    <row r="24" spans="1:6" ht="15" x14ac:dyDescent="0.25">
      <c r="A24" s="7" t="s">
        <v>32</v>
      </c>
      <c r="B24" s="11">
        <f>VLOOKUP($A24,Dataset!$A$1:$X$40,7,FALSE)</f>
        <v>-1</v>
      </c>
      <c r="C24" s="11">
        <f>VLOOKUP($A24,Dataset!$A$1:$X$40,14,FALSE)</f>
        <v>-1</v>
      </c>
      <c r="D24" s="11">
        <f>VLOOKUP($A24,Dataset!$A$1:$X$40,18,FALSE)</f>
        <v>-1</v>
      </c>
      <c r="E24" s="11">
        <f>VLOOKUP($A24,Dataset!$A$1:$X$40,20,FALSE)</f>
        <v>-1</v>
      </c>
      <c r="F24" s="11">
        <f>VLOOKUP($A24,Dataset!$A$1:$X$40,22,FALSE)</f>
        <v>-1</v>
      </c>
    </row>
    <row r="25" spans="1:6" ht="15" x14ac:dyDescent="0.25">
      <c r="A25" s="7" t="s">
        <v>34</v>
      </c>
      <c r="B25" s="11">
        <f>VLOOKUP($A25,Dataset!$A$1:$X$40,7,FALSE)</f>
        <v>43.3</v>
      </c>
      <c r="C25" s="11">
        <f>VLOOKUP($A25,Dataset!$A$1:$X$40,14,FALSE)</f>
        <v>128.6</v>
      </c>
      <c r="D25" s="11">
        <f>VLOOKUP($A25,Dataset!$A$1:$X$40,18,FALSE)</f>
        <v>79.400000000000006</v>
      </c>
      <c r="E25" s="11">
        <f>VLOOKUP($A25,Dataset!$A$1:$X$40,20,FALSE)</f>
        <v>160.9</v>
      </c>
      <c r="F25" s="11">
        <f>VLOOKUP($A25,Dataset!$A$1:$X$40,22,FALSE)</f>
        <v>79.400000000000006</v>
      </c>
    </row>
    <row r="26" spans="1:6" ht="15" x14ac:dyDescent="0.25">
      <c r="A26" s="7" t="s">
        <v>37</v>
      </c>
      <c r="B26" s="11">
        <f>VLOOKUP($A26,Dataset!$A$1:$X$40,7,FALSE)</f>
        <v>49.1</v>
      </c>
      <c r="C26" s="11">
        <f>VLOOKUP($A26,Dataset!$A$1:$X$40,14,FALSE)</f>
        <v>146.80000000000001</v>
      </c>
      <c r="D26" s="11">
        <f>VLOOKUP($A26,Dataset!$A$1:$X$40,18,FALSE)</f>
        <v>90.9</v>
      </c>
      <c r="E26" s="11">
        <f>VLOOKUP($A26,Dataset!$A$1:$X$40,20,FALSE)</f>
        <v>183.5</v>
      </c>
      <c r="F26" s="11">
        <f>VLOOKUP($A26,Dataset!$A$1:$X$40,22,FALSE)</f>
        <v>90.9</v>
      </c>
    </row>
    <row r="27" spans="1:6" ht="15" x14ac:dyDescent="0.25">
      <c r="A27" s="7" t="s">
        <v>39</v>
      </c>
      <c r="B27" s="11">
        <f>VLOOKUP($A27,Dataset!$A$1:$X$40,7,FALSE)</f>
        <v>51.8</v>
      </c>
      <c r="C27" s="11">
        <f>VLOOKUP($A27,Dataset!$A$1:$X$40,14,FALSE)</f>
        <v>156.4</v>
      </c>
      <c r="D27" s="11">
        <f>VLOOKUP($A27,Dataset!$A$1:$X$40,18,FALSE)</f>
        <v>93.1</v>
      </c>
      <c r="E27" s="11">
        <f>VLOOKUP($A27,Dataset!$A$1:$X$40,20,FALSE)</f>
        <v>188.1</v>
      </c>
      <c r="F27" s="11">
        <f>VLOOKUP($A27,Dataset!$A$1:$X$40,22,FALSE)</f>
        <v>93.1</v>
      </c>
    </row>
    <row r="28" spans="1:6" ht="15" x14ac:dyDescent="0.25">
      <c r="A28" s="18" t="s">
        <v>82</v>
      </c>
      <c r="B28" s="30">
        <f>MIN(B$6:B$27)</f>
        <v>-1</v>
      </c>
      <c r="C28" s="30">
        <f t="shared" ref="C28:F28" si="0">MIN(C$6:C$27)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MAX(B$6:B$27)</f>
        <v>51.8</v>
      </c>
      <c r="C29" s="30">
        <f t="shared" ref="C29:F29" si="1">MAX(C$6:C$27)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30">
        <f>AVERAGE(B$6:B$27)</f>
        <v>20.827272727272728</v>
      </c>
      <c r="C30" s="30">
        <f t="shared" ref="C30:F30" si="2">AVERAGE(C$6:C$27)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T55"/>
  <sheetViews>
    <sheetView topLeftCell="A20" zoomScaleNormal="100" workbookViewId="0">
      <selection activeCell="B7" sqref="B7:L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20" s="40" customFormat="1" ht="21" x14ac:dyDescent="0.35">
      <c r="A1" s="41" t="s">
        <v>56</v>
      </c>
      <c r="B1" s="40" t="s">
        <v>174</v>
      </c>
    </row>
    <row r="2" spans="1:20" customFormat="1" ht="12.75" x14ac:dyDescent="0.2"/>
    <row r="3" spans="1:20" s="2" customFormat="1" x14ac:dyDescent="0.25">
      <c r="B3" s="1"/>
    </row>
    <row r="4" spans="1:20" s="2" customFormat="1" x14ac:dyDescent="0.25">
      <c r="B4" s="1" t="s">
        <v>151</v>
      </c>
    </row>
    <row r="5" spans="1:20" ht="18.75" x14ac:dyDescent="0.3">
      <c r="A5" s="42" t="s">
        <v>53</v>
      </c>
      <c r="B5" s="39" t="s">
        <v>178</v>
      </c>
    </row>
    <row r="6" spans="1:20" ht="18.75" x14ac:dyDescent="0.3">
      <c r="A6" s="42" t="s">
        <v>153</v>
      </c>
      <c r="B6" s="46" t="s">
        <v>179</v>
      </c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 ht="18.75" customHeight="1" x14ac:dyDescent="0.3">
      <c r="A7" s="42"/>
      <c r="B7" s="46" t="s">
        <v>180</v>
      </c>
      <c r="C7" s="46"/>
      <c r="D7" s="46"/>
      <c r="E7" s="46"/>
      <c r="F7" s="46"/>
      <c r="G7" s="46"/>
      <c r="H7" s="46"/>
      <c r="I7" s="46"/>
      <c r="J7" s="46"/>
      <c r="K7" s="46"/>
      <c r="L7" s="46"/>
      <c r="M7" s="47"/>
      <c r="N7" s="47"/>
      <c r="O7" s="47"/>
      <c r="P7" s="47"/>
      <c r="Q7" s="47"/>
      <c r="R7" s="47"/>
      <c r="S7" s="47"/>
      <c r="T7" s="47"/>
    </row>
    <row r="8" spans="1:20" ht="18.75" x14ac:dyDescent="0.3">
      <c r="A8" s="42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10" spans="1:20" ht="23.25" x14ac:dyDescent="0.35">
      <c r="A10" s="17" t="s">
        <v>165</v>
      </c>
      <c r="I10" s="2"/>
      <c r="J10" s="2"/>
    </row>
    <row r="11" spans="1:20" x14ac:dyDescent="0.25">
      <c r="A11" s="32" t="s">
        <v>102</v>
      </c>
      <c r="B11" s="16" t="s">
        <v>49</v>
      </c>
      <c r="C11" s="16" t="s">
        <v>50</v>
      </c>
      <c r="D11" s="16" t="s">
        <v>51</v>
      </c>
      <c r="E11" s="16" t="s">
        <v>52</v>
      </c>
      <c r="F11" s="16" t="s">
        <v>54</v>
      </c>
      <c r="I11" s="2"/>
      <c r="J11" s="2"/>
    </row>
    <row r="12" spans="1:20" x14ac:dyDescent="0.25">
      <c r="A12" s="8" t="s">
        <v>121</v>
      </c>
      <c r="B12" s="12">
        <v>20000</v>
      </c>
      <c r="C12" s="12" t="s">
        <v>5</v>
      </c>
      <c r="D12" s="12">
        <v>0</v>
      </c>
      <c r="E12" s="10" t="s">
        <v>6</v>
      </c>
      <c r="F12" s="10">
        <v>24</v>
      </c>
      <c r="I12" s="2"/>
      <c r="J12" s="2"/>
    </row>
    <row r="15" spans="1:20" ht="23.25" x14ac:dyDescent="0.35">
      <c r="A15" s="17" t="s">
        <v>162</v>
      </c>
    </row>
    <row r="16" spans="1:20" x14ac:dyDescent="0.25">
      <c r="A16" s="13" t="s">
        <v>103</v>
      </c>
      <c r="B16" s="16" t="s">
        <v>49</v>
      </c>
      <c r="C16" s="14" t="s">
        <v>50</v>
      </c>
      <c r="D16" s="16" t="s">
        <v>51</v>
      </c>
      <c r="E16" s="14" t="s">
        <v>52</v>
      </c>
      <c r="F16" s="16" t="s">
        <v>54</v>
      </c>
    </row>
    <row r="17" spans="1:6" x14ac:dyDescent="0.25">
      <c r="A17" s="7" t="s">
        <v>121</v>
      </c>
      <c r="B17" s="11">
        <v>20000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122</v>
      </c>
      <c r="B18" s="11">
        <v>20002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123</v>
      </c>
      <c r="B19" s="11">
        <v>20004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124</v>
      </c>
      <c r="B20" s="11">
        <v>20006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125</v>
      </c>
      <c r="B21" s="11">
        <v>20008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126</v>
      </c>
      <c r="B22" s="11">
        <v>20010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127</v>
      </c>
      <c r="B23" s="11">
        <v>20012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128</v>
      </c>
      <c r="B24" s="11">
        <v>20014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129</v>
      </c>
      <c r="B25" s="11">
        <v>20016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130</v>
      </c>
      <c r="B26" s="11">
        <v>20018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131</v>
      </c>
      <c r="B27" s="11">
        <v>20020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132</v>
      </c>
      <c r="B28" s="11">
        <v>20022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133</v>
      </c>
      <c r="B29" s="11">
        <v>20024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134</v>
      </c>
      <c r="B30" s="11">
        <v>20026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135</v>
      </c>
      <c r="B31" s="11">
        <v>20028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136</v>
      </c>
      <c r="B32" s="11">
        <v>20030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137</v>
      </c>
      <c r="B33" s="11">
        <v>20032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138</v>
      </c>
      <c r="B34" s="11">
        <v>20034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139</v>
      </c>
      <c r="B35" s="11">
        <v>20036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140</v>
      </c>
      <c r="B36" s="11">
        <v>20038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141</v>
      </c>
      <c r="B37" s="11">
        <v>20040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142</v>
      </c>
      <c r="B38" s="11">
        <v>20042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143</v>
      </c>
      <c r="B39" s="11">
        <v>20044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144</v>
      </c>
      <c r="B40" s="11">
        <v>20046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145</v>
      </c>
      <c r="B41" s="11">
        <v>20048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146</v>
      </c>
      <c r="B42" s="11">
        <v>20050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147</v>
      </c>
      <c r="B43" s="11">
        <v>20052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148</v>
      </c>
      <c r="B44" s="11">
        <v>20054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149</v>
      </c>
      <c r="B45" s="11">
        <v>20058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150</v>
      </c>
      <c r="B46" s="11">
        <v>20060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112</v>
      </c>
      <c r="B47" s="11">
        <v>21000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113</v>
      </c>
      <c r="B48" s="11">
        <v>21002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114</v>
      </c>
      <c r="B49" s="11">
        <v>21004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115</v>
      </c>
      <c r="B50" s="11">
        <v>21006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116</v>
      </c>
      <c r="B51" s="11">
        <v>21008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117</v>
      </c>
      <c r="B52" s="11">
        <v>21010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118</v>
      </c>
      <c r="B53" s="11">
        <v>21012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7" t="s">
        <v>119</v>
      </c>
      <c r="B54" s="11">
        <v>21014</v>
      </c>
      <c r="C54" s="1" t="s">
        <v>5</v>
      </c>
      <c r="D54" s="11">
        <v>0</v>
      </c>
      <c r="E54" s="1" t="s">
        <v>6</v>
      </c>
      <c r="F54" s="11">
        <v>24</v>
      </c>
    </row>
    <row r="55" spans="1:6" x14ac:dyDescent="0.25">
      <c r="A55" s="8" t="s">
        <v>120</v>
      </c>
      <c r="B55" s="12">
        <v>21016</v>
      </c>
      <c r="C55" s="9" t="s">
        <v>5</v>
      </c>
      <c r="D55" s="12">
        <v>0</v>
      </c>
      <c r="E55" s="9" t="s">
        <v>6</v>
      </c>
      <c r="F55" s="12">
        <v>24</v>
      </c>
    </row>
  </sheetData>
  <mergeCells count="2">
    <mergeCell ref="B6:T6"/>
    <mergeCell ref="B7:L8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2"/>
  <sheetViews>
    <sheetView topLeftCell="A13" zoomScaleNormal="100" workbookViewId="0">
      <selection activeCell="H10" sqref="H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8" ht="21" x14ac:dyDescent="0.35">
      <c r="A1" s="41" t="s">
        <v>85</v>
      </c>
      <c r="B1" s="40" t="s">
        <v>167</v>
      </c>
    </row>
    <row r="2" spans="1:8" ht="18.75" x14ac:dyDescent="0.3">
      <c r="B2" s="39" t="s">
        <v>166</v>
      </c>
    </row>
    <row r="5" spans="1:8" ht="15" x14ac:dyDescent="0.25">
      <c r="B5" s="1" t="s">
        <v>151</v>
      </c>
    </row>
    <row r="6" spans="1:8" ht="15" x14ac:dyDescent="0.25">
      <c r="A6" s="3" t="s">
        <v>53</v>
      </c>
      <c r="B6" s="1"/>
      <c r="C6" s="2" t="s">
        <v>181</v>
      </c>
    </row>
    <row r="7" spans="1:8" ht="15" x14ac:dyDescent="0.25">
      <c r="A7" s="3" t="s">
        <v>153</v>
      </c>
      <c r="B7" s="1"/>
      <c r="C7" s="48" t="s">
        <v>182</v>
      </c>
      <c r="D7" s="48"/>
      <c r="E7" s="48"/>
      <c r="F7" s="48"/>
      <c r="G7" s="48"/>
      <c r="H7" s="48"/>
    </row>
    <row r="8" spans="1:8" x14ac:dyDescent="0.2">
      <c r="C8" s="48"/>
      <c r="D8" s="48"/>
      <c r="E8" s="48"/>
      <c r="F8" s="48"/>
      <c r="G8" s="48"/>
      <c r="H8" s="48"/>
    </row>
    <row r="10" spans="1:8" ht="23.25" x14ac:dyDescent="0.35">
      <c r="A10" s="17" t="s">
        <v>162</v>
      </c>
    </row>
    <row r="11" spans="1:8" ht="15" x14ac:dyDescent="0.25">
      <c r="A11" s="31" t="s">
        <v>86</v>
      </c>
      <c r="B11" s="16" t="s">
        <v>87</v>
      </c>
      <c r="C11" s="16" t="s">
        <v>88</v>
      </c>
    </row>
    <row r="12" spans="1:8" ht="15" x14ac:dyDescent="0.25">
      <c r="A12" s="31">
        <v>44927</v>
      </c>
      <c r="B12" s="16" t="s">
        <v>59</v>
      </c>
      <c r="C12" s="16">
        <v>200</v>
      </c>
    </row>
    <row r="13" spans="1:8" ht="15" x14ac:dyDescent="0.25">
      <c r="A13" s="31">
        <v>44928</v>
      </c>
      <c r="B13" s="16" t="s">
        <v>60</v>
      </c>
      <c r="C13" s="16">
        <v>20</v>
      </c>
    </row>
    <row r="14" spans="1:8" ht="15" x14ac:dyDescent="0.25">
      <c r="A14" s="31">
        <v>44929</v>
      </c>
      <c r="B14" s="16" t="s">
        <v>61</v>
      </c>
      <c r="C14" s="16">
        <v>50</v>
      </c>
    </row>
    <row r="15" spans="1:8" ht="15" x14ac:dyDescent="0.25">
      <c r="A15" s="31">
        <v>44930</v>
      </c>
      <c r="B15" s="16" t="s">
        <v>62</v>
      </c>
      <c r="C15" s="16">
        <v>20</v>
      </c>
    </row>
    <row r="16" spans="1:8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>
        <v>20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>
        <v>20</v>
      </c>
    </row>
    <row r="22" spans="1:3" ht="15" x14ac:dyDescent="0.2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opLeftCell="A13" zoomScaleNormal="100" workbookViewId="0">
      <selection activeCell="Q11" sqref="Q11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5" ht="21" x14ac:dyDescent="0.35">
      <c r="A1" s="41" t="s">
        <v>98</v>
      </c>
      <c r="B1" s="40" t="s">
        <v>175</v>
      </c>
    </row>
    <row r="3" spans="1:15" ht="15" x14ac:dyDescent="0.25">
      <c r="B3" s="1" t="s">
        <v>151</v>
      </c>
    </row>
    <row r="4" spans="1:15" ht="18.75" x14ac:dyDescent="0.3">
      <c r="A4" s="42" t="s">
        <v>53</v>
      </c>
      <c r="B4" s="1"/>
      <c r="C4" s="2" t="s">
        <v>183</v>
      </c>
    </row>
    <row r="5" spans="1:15" ht="18.75" x14ac:dyDescent="0.3">
      <c r="A5" s="42" t="s">
        <v>153</v>
      </c>
      <c r="B5" s="1"/>
      <c r="C5" s="49" t="s">
        <v>184</v>
      </c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</row>
    <row r="6" spans="1:15" ht="15" x14ac:dyDescent="0.25">
      <c r="A6" s="3"/>
      <c r="B6" s="1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</row>
    <row r="8" spans="1:15" ht="23.25" x14ac:dyDescent="0.35">
      <c r="A8" s="17" t="s">
        <v>162</v>
      </c>
      <c r="M8" s="17" t="s">
        <v>163</v>
      </c>
    </row>
    <row r="9" spans="1:15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5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5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5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5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5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5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5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>
        <f>INDEX($B$10:$J$18,MATCH(VLOOKUP($A23,$M$10:$N$18,2,FALSE),$A$10:$A$18,0),MATCH(VLOOKUP($B23,$M$10:$N$18,2,FALSE),$B$9:$J$9,0))</f>
        <v>95</v>
      </c>
      <c r="E23" s="2" t="str">
        <f>VLOOKUP(A23,M10:N18,2,FALSE)</f>
        <v>A</v>
      </c>
      <c r="F23" s="2" t="str">
        <f>VLOOKUP(B23,M10:N18,2,FALSE)</f>
        <v>B</v>
      </c>
      <c r="G23" s="2">
        <f>MATCH(E23,A10:A18,0)</f>
        <v>1</v>
      </c>
      <c r="H23" s="2">
        <f>MATCH(F23,B9:J9,0)</f>
        <v>2</v>
      </c>
      <c r="J23" s="2">
        <f>INDEX(B10:J18,G23,H23)</f>
        <v>95</v>
      </c>
    </row>
    <row r="24" spans="1:14" ht="15" x14ac:dyDescent="0.25">
      <c r="A24" s="7">
        <v>10100</v>
      </c>
      <c r="B24" s="11">
        <v>10104</v>
      </c>
      <c r="C24" s="43">
        <f t="shared" ref="C24:C35" si="0">INDEX($B$10:$J$18,MATCH(VLOOKUP($A24,$M$10:$N$18,2,FALSE),$A$10:$A$18,0),MATCH(VLOOKUP($B24,$M$10:$N$18,2,FALSE),$B$9:$J$9,0))</f>
        <v>-1</v>
      </c>
    </row>
    <row r="25" spans="1:14" ht="15" x14ac:dyDescent="0.25">
      <c r="A25" s="7">
        <v>10108</v>
      </c>
      <c r="B25" s="11">
        <v>10102</v>
      </c>
      <c r="C25" s="43">
        <f t="shared" si="0"/>
        <v>160</v>
      </c>
    </row>
    <row r="26" spans="1:14" ht="15" x14ac:dyDescent="0.25">
      <c r="A26" s="7">
        <v>10100</v>
      </c>
      <c r="B26" s="11">
        <v>10106</v>
      </c>
      <c r="C26" s="43">
        <f t="shared" si="0"/>
        <v>185</v>
      </c>
    </row>
    <row r="27" spans="1:14" ht="15" x14ac:dyDescent="0.25">
      <c r="A27" s="7">
        <v>10108</v>
      </c>
      <c r="B27" s="11">
        <v>10110</v>
      </c>
      <c r="C27" s="43">
        <f t="shared" si="0"/>
        <v>50</v>
      </c>
    </row>
    <row r="28" spans="1:14" ht="15" x14ac:dyDescent="0.25">
      <c r="A28" s="7">
        <v>10102</v>
      </c>
      <c r="B28" s="11">
        <v>10104</v>
      </c>
      <c r="C28" s="43">
        <f t="shared" si="0"/>
        <v>-1</v>
      </c>
    </row>
    <row r="29" spans="1:14" ht="15" x14ac:dyDescent="0.25">
      <c r="A29" s="7">
        <v>10106</v>
      </c>
      <c r="B29" s="11">
        <v>10108</v>
      </c>
      <c r="C29" s="43">
        <f t="shared" si="0"/>
        <v>70</v>
      </c>
    </row>
    <row r="30" spans="1:14" ht="15" x14ac:dyDescent="0.25">
      <c r="A30" s="7">
        <v>10102</v>
      </c>
      <c r="B30" s="11">
        <v>10106</v>
      </c>
      <c r="C30" s="43">
        <f t="shared" si="0"/>
        <v>90</v>
      </c>
    </row>
    <row r="31" spans="1:14" ht="15" x14ac:dyDescent="0.25">
      <c r="A31" s="7">
        <v>10110</v>
      </c>
      <c r="B31" s="11">
        <v>10114</v>
      </c>
      <c r="C31" s="43">
        <f t="shared" si="0"/>
        <v>180</v>
      </c>
    </row>
    <row r="32" spans="1:14" ht="15" x14ac:dyDescent="0.25">
      <c r="A32" s="7">
        <v>10104</v>
      </c>
      <c r="B32" s="11">
        <v>10106</v>
      </c>
      <c r="C32" s="43">
        <f t="shared" si="0"/>
        <v>60</v>
      </c>
    </row>
    <row r="33" spans="1:3" ht="15" x14ac:dyDescent="0.25">
      <c r="A33" s="7">
        <v>10110</v>
      </c>
      <c r="B33" s="11">
        <v>10112</v>
      </c>
      <c r="C33" s="43">
        <f t="shared" si="0"/>
        <v>115</v>
      </c>
    </row>
    <row r="34" spans="1:3" ht="15" x14ac:dyDescent="0.25">
      <c r="A34" s="7">
        <v>10100</v>
      </c>
      <c r="B34" s="11">
        <v>10114</v>
      </c>
      <c r="C34" s="43">
        <f t="shared" si="0"/>
        <v>480</v>
      </c>
    </row>
    <row r="35" spans="1:3" ht="15" x14ac:dyDescent="0.25">
      <c r="A35" s="8">
        <v>10112</v>
      </c>
      <c r="B35" s="12">
        <v>10116</v>
      </c>
      <c r="C35" s="43">
        <f t="shared" si="0"/>
        <v>105</v>
      </c>
    </row>
  </sheetData>
  <mergeCells count="1">
    <mergeCell ref="C5:O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Suchitra Behera</cp:lastModifiedBy>
  <dcterms:created xsi:type="dcterms:W3CDTF">2015-02-10T17:33:11Z</dcterms:created>
  <dcterms:modified xsi:type="dcterms:W3CDTF">2024-10-24T12:12:01Z</dcterms:modified>
</cp:coreProperties>
</file>